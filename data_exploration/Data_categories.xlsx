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uqiao/Desktop/LYQ/US_academic/academic/NEU/2026Spring/ECON5140/midterm/"/>
    </mc:Choice>
  </mc:AlternateContent>
  <xr:revisionPtr revIDLastSave="0" documentId="13_ncr:1_{B6E723C7-3250-9945-BBFB-B95367C1374A}" xr6:coauthVersionLast="47" xr6:coauthVersionMax="47" xr10:uidLastSave="{00000000-0000-0000-0000-000000000000}"/>
  <bookViews>
    <workbookView xWindow="29400" yWindow="0" windowWidth="27660" windowHeight="28800" activeTab="1" xr2:uid="{667E54D0-2DF5-D644-9D6C-7B2EA3A7BF3C}"/>
  </bookViews>
  <sheets>
    <sheet name="input" sheetId="4" r:id="rId1"/>
    <sheet name="ppt" sheetId="2" r:id="rId2"/>
    <sheet name="corr" sheetId="5" r:id="rId3"/>
    <sheet name="outpu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5" l="1"/>
  <c r="M15" i="5"/>
  <c r="L15" i="5"/>
  <c r="K15" i="5"/>
  <c r="J15" i="5"/>
  <c r="I15" i="5"/>
  <c r="H15" i="5"/>
  <c r="G15" i="5"/>
  <c r="F15" i="5"/>
  <c r="E15" i="5"/>
  <c r="D15" i="5"/>
  <c r="C15" i="5"/>
  <c r="B15" i="5"/>
  <c r="D9" i="4"/>
  <c r="D8" i="4"/>
  <c r="D7" i="4"/>
  <c r="D6" i="4"/>
  <c r="D5" i="4"/>
  <c r="D4" i="4"/>
  <c r="D3" i="4"/>
  <c r="D2" i="4"/>
  <c r="D4" i="2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<sst xmlns="http://schemas.openxmlformats.org/spreadsheetml/2006/main" count="206" uniqueCount="133">
  <si>
    <t>Numeric variables: ['Age', 'DailyRate', 'DistanceFromHome', 'Education', 'EmployeeCount', 'EmployeeNumber', 'EnvironmentSatisfaction', 'HourlyRate', 'JobInvolvement', 'JobLevel', 'JobSatisfaction', 'MonthlyIncome', 'MonthlyRate', 'NumCompaniesWorked', 'PercentSalaryHike', 'PerformanceRating', 'RelationshipSatisfaction', 'StandardHours', 'StockOptionLevel', 'TotalWorkingYears', 'TrainingTimesLastYear', 'WorkLifeBalance', 'YearsAtCompany', 'YearsInCurrentRole', 'YearsSinceLastPromotion', 'YearsWithCurrManager']</t>
  </si>
  <si>
    <t>Categorical variables: ['Attrition', 'BusinessTravel', 'Department', 'EducationField', 'Gender', 'JobRole', 'MaritalStatus', 'Over18', 'OverTime']</t>
  </si>
  <si>
    <t>Attrition: ['Yes' 'No']</t>
  </si>
  <si>
    <t>BusinessTravel: ['Travel_Rarely' 'Travel_Frequently' 'Non-Travel']</t>
  </si>
  <si>
    <t>Department: ['Sales' 'Research &amp; Development' 'Human Resources']</t>
  </si>
  <si>
    <t>EducationField: ['Life Sciences' 'Other' 'Medical' 'Marketing' 'Technical Degree'</t>
  </si>
  <si>
    <t xml:space="preserve"> 'Human Resources']</t>
  </si>
  <si>
    <t>Gender: ['Female' 'Male']</t>
  </si>
  <si>
    <t>JobRole: ['Sales Executive' 'Research Scientist' 'Laboratory Technician'</t>
  </si>
  <si>
    <t xml:space="preserve"> 'Manufacturing Director' 'Healthcare Representative' 'Manager'</t>
  </si>
  <si>
    <t xml:space="preserve"> 'Sales Representative' 'Research Director' 'Human Resources']</t>
  </si>
  <si>
    <t>MaritalStatus: ['Single' 'Married' 'Divorced']</t>
  </si>
  <si>
    <t>Over18: ['Y']</t>
  </si>
  <si>
    <t>OverTime: ['Yes' 'No']</t>
  </si>
  <si>
    <t xml:space="preserve">Time </t>
  </si>
  <si>
    <t>Income</t>
  </si>
  <si>
    <t xml:space="preserve"> Personal information</t>
  </si>
  <si>
    <t>other</t>
  </si>
  <si>
    <t>Hourly_rate, Daily_rate, Monthly_rate, Monthly_income, Percent_Salary_Hike</t>
  </si>
  <si>
    <t>Years_at_company, Years_in_current_role, Years_since_last_promotion,
 Years_with_curr_manager, Total_working_years</t>
  </si>
  <si>
    <t>Binary variables</t>
  </si>
  <si>
    <r>
      <t xml:space="preserve">Num_Companies_Corked, </t>
    </r>
    <r>
      <rPr>
        <b/>
        <sz val="12"/>
        <color theme="1"/>
        <rFont val="Aptos Narrow"/>
        <scheme val="minor"/>
      </rPr>
      <t>Standard_Hours</t>
    </r>
    <r>
      <rPr>
        <sz val="12"/>
        <color theme="1"/>
        <rFont val="Aptos Narrow"/>
        <family val="2"/>
        <scheme val="minor"/>
      </rPr>
      <t xml:space="preserve">, Training_Times_Last_Year,
 Employee_count </t>
    </r>
  </si>
  <si>
    <t>Nominal variables</t>
  </si>
  <si>
    <t>Department, Education_Field, Job_Role, Marital_Status</t>
  </si>
  <si>
    <t>Ordinal variables</t>
  </si>
  <si>
    <t xml:space="preserve">Number </t>
  </si>
  <si>
    <t>Variable Type</t>
  </si>
  <si>
    <t>Subcategory</t>
  </si>
  <si>
    <t>Variables</t>
  </si>
  <si>
    <t>Numeric variables
(17)</t>
  </si>
  <si>
    <t>Categorical variables
(17)</t>
  </si>
  <si>
    <t>Numeric variables</t>
  </si>
  <si>
    <t>Categorical variables</t>
  </si>
  <si>
    <t>Environment_Satisfaction, Job_Satisfaction,Relationship_Satisfaction,Work_Life_Balance, Job_Involvement, Performance_Rating</t>
  </si>
  <si>
    <t>Business_travel, Education, Job_level, Stock_option_level</t>
  </si>
  <si>
    <t>then: mannual selection</t>
  </si>
  <si>
    <t>first: number/ object type</t>
  </si>
  <si>
    <t>Age, Distance_from_Home, Employee_Number</t>
  </si>
  <si>
    <t>Age</t>
  </si>
  <si>
    <t>Standard_Hours</t>
  </si>
  <si>
    <t xml:space="preserve"> Employee_count </t>
  </si>
  <si>
    <t>lack of discrimination</t>
  </si>
  <si>
    <t>employee_number</t>
  </si>
  <si>
    <t>id variable, irrelevent info</t>
  </si>
  <si>
    <t>Distance_from_Home</t>
  </si>
  <si>
    <t>Most workers are not working closer to home and it seems as though working further from home slightly increases the churn rate.</t>
  </si>
  <si>
    <t>Need to Delete</t>
  </si>
  <si>
    <t>Over18</t>
  </si>
  <si>
    <t>monthly_income</t>
  </si>
  <si>
    <t>Effect</t>
  </si>
  <si>
    <t>Interpretation</t>
  </si>
  <si>
    <t>negative</t>
  </si>
  <si>
    <t>--</t>
  </si>
  <si>
    <t>Hourly_rate, Daily_rate, Monthly_rate，Percent_Salary_Hike</t>
  </si>
  <si>
    <t>The median different rates do not seem to play a role in determening churn. (First 4 are All quite uniformly.  )</t>
  </si>
  <si>
    <t>Time</t>
  </si>
  <si>
    <t xml:space="preserve"> Years_since_last_promotion</t>
  </si>
  <si>
    <t>Years_at_company, Years_in_current_role,
 Years_with_curr_manager, Total_working_years</t>
  </si>
  <si>
    <t xml:space="preserve">Skewed to the rightIn general, as working time inceases, the chrun rate decreases.(Highly Corr) </t>
  </si>
  <si>
    <t>negative but correlated  (what if combine with age?)</t>
  </si>
  <si>
    <t>Num_Companies_Corked, Training_Times_Last_Year</t>
  </si>
  <si>
    <t>The median different rates do not seem to play a role in determening churn. Almost same dist.</t>
  </si>
  <si>
    <t>From correlation</t>
  </si>
  <si>
    <t>years_in_current_role and years_at_company</t>
  </si>
  <si>
    <t>years_in_current_role and years_with_curr_manager</t>
  </si>
  <si>
    <t>years_at_company and years_with_curr_manager</t>
  </si>
  <si>
    <t>monthly_income and total_working_years</t>
  </si>
  <si>
    <r>
      <rPr>
        <b/>
        <sz val="12"/>
        <color theme="1"/>
        <rFont val="Aptos Narrow"/>
        <scheme val="minor"/>
      </rPr>
      <t>It is strange</t>
    </r>
    <r>
      <rPr>
        <sz val="12"/>
        <color theme="1"/>
        <rFont val="Aptos Narrow"/>
        <family val="2"/>
        <scheme val="minor"/>
      </rPr>
      <t xml:space="preserve"> that distance_from_home, hourly_rate, daily_rate, monthly_rate, percent_salary_hike and training_times_last_year. </t>
    </r>
    <r>
      <rPr>
        <b/>
        <sz val="12"/>
        <color theme="1"/>
        <rFont val="Aptos Narrow"/>
        <scheme val="minor"/>
      </rPr>
      <t xml:space="preserve">Are not correlated </t>
    </r>
  </si>
  <si>
    <t>Consider dropping either years_in_current_role, years_at_company or years_with_curr_manager in the prediction stage.</t>
  </si>
  <si>
    <t xml:space="preserve">Highly correlated </t>
  </si>
  <si>
    <r>
      <rPr>
        <b/>
        <sz val="12"/>
        <color rgb="FFFF0000"/>
        <rFont val="Aptos Narrow (Body)"/>
      </rPr>
      <t>Either</t>
    </r>
    <r>
      <rPr>
        <b/>
        <sz val="12"/>
        <color theme="1"/>
        <rFont val="Aptos Narrow"/>
        <scheme val="minor"/>
      </rPr>
      <t xml:space="preserve"> years_in_current_role, years_at_company or years_with_curr_manage</t>
    </r>
  </si>
  <si>
    <t>Dot use age and total working years together</t>
  </si>
  <si>
    <t>Dot use MonthlyIncome and total working years together</t>
  </si>
  <si>
    <t>age</t>
  </si>
  <si>
    <t>dailyrate</t>
  </si>
  <si>
    <t>distancefromhome</t>
  </si>
  <si>
    <t>hourlyrate</t>
  </si>
  <si>
    <t>monthlyincome</t>
  </si>
  <si>
    <t>monthlyrate</t>
  </si>
  <si>
    <t>percentsalaryhike</t>
  </si>
  <si>
    <t>totalworkingyears</t>
  </si>
  <si>
    <t>trainingtimeslastyear</t>
  </si>
  <si>
    <t>yearsatcompany</t>
  </si>
  <si>
    <t>yearsincurrentrole</t>
  </si>
  <si>
    <t>yearssincelastpromotion</t>
  </si>
  <si>
    <t>yearswithcurrmanager</t>
  </si>
  <si>
    <r>
      <rPr>
        <b/>
        <u val="double"/>
        <sz val="12"/>
        <color theme="1"/>
        <rFont val="Aptos Narrow (Body)"/>
      </rPr>
      <t>Attrition</t>
    </r>
    <r>
      <rPr>
        <b/>
        <sz val="12"/>
        <color theme="1"/>
        <rFont val="Aptos Narrow"/>
        <scheme val="minor"/>
      </rPr>
      <t>, Gender, Over_18</t>
    </r>
    <r>
      <rPr>
        <sz val="12"/>
        <color theme="1"/>
        <rFont val="Aptos Narrow"/>
        <family val="2"/>
        <scheme val="minor"/>
      </rPr>
      <t>, Over_Time</t>
    </r>
  </si>
  <si>
    <t>From the histogram plots we can learn</t>
  </si>
  <si>
    <t>From the error bar plot  we can learn</t>
  </si>
  <si>
    <t>there is a difference</t>
  </si>
  <si>
    <t xml:space="preserve"> Over_Time</t>
  </si>
  <si>
    <t xml:space="preserve"> Education_Field</t>
  </si>
  <si>
    <t>Job_Role</t>
  </si>
  <si>
    <t>Marital_Status</t>
  </si>
  <si>
    <t>Department</t>
  </si>
  <si>
    <t xml:space="preserve"> Gender </t>
  </si>
  <si>
    <t>there is a big  difference</t>
  </si>
  <si>
    <r>
      <t xml:space="preserve">Num_Companies_Corked, </t>
    </r>
    <r>
      <rPr>
        <sz val="12"/>
        <color theme="1"/>
        <rFont val="Aptos Narrow"/>
        <scheme val="minor"/>
      </rPr>
      <t>Standard_Hours</t>
    </r>
    <r>
      <rPr>
        <sz val="12"/>
        <color theme="1"/>
        <rFont val="Aptos Narrow"/>
        <family val="2"/>
        <scheme val="minor"/>
      </rPr>
      <t xml:space="preserve">, Training_Times_Last_Year,
 Employee_count </t>
    </r>
  </si>
  <si>
    <r>
      <rPr>
        <b/>
        <u val="double"/>
        <sz val="12"/>
        <color theme="1"/>
        <rFont val="Aptos Narrow (Body)"/>
      </rPr>
      <t>Attrition(target variable)</t>
    </r>
    <r>
      <rPr>
        <b/>
        <sz val="12"/>
        <color theme="1"/>
        <rFont val="Aptos Narrow"/>
        <scheme val="minor"/>
      </rPr>
      <t>,</t>
    </r>
    <r>
      <rPr>
        <sz val="12"/>
        <color theme="1"/>
        <rFont val="Aptos Narrow"/>
        <scheme val="minor"/>
      </rPr>
      <t xml:space="preserve"> Gender,Over_18</t>
    </r>
    <r>
      <rPr>
        <sz val="12"/>
        <color theme="1"/>
        <rFont val="Aptos Narrow"/>
        <family val="2"/>
        <scheme val="minor"/>
      </rPr>
      <t>, Over_Time</t>
    </r>
  </si>
  <si>
    <r>
      <rPr>
        <b/>
        <u/>
        <sz val="12"/>
        <color theme="1"/>
        <rFont val="Aptos Narrow (Body)"/>
      </rPr>
      <t>Subjective ordinal</t>
    </r>
    <r>
      <rPr>
        <sz val="12"/>
        <color theme="1"/>
        <rFont val="Aptos Narrow"/>
        <family val="2"/>
        <scheme val="minor"/>
      </rPr>
      <t>: Environment_Satisfaction, Job_Satisfaction,Relationship_Satisfaction,Work_Life_Balance, Job_Involvement, Performance_Rating</t>
    </r>
  </si>
  <si>
    <r>
      <rPr>
        <b/>
        <u/>
        <sz val="12"/>
        <color theme="1"/>
        <rFont val="Aptos Narrow (Body)"/>
      </rPr>
      <t>Objective ordinal</t>
    </r>
    <r>
      <rPr>
        <sz val="12"/>
        <color theme="1"/>
        <rFont val="Aptos Narrow (Body)"/>
      </rPr>
      <t>: Business_travel, Education, Job_level, Stock_option_level</t>
    </r>
  </si>
  <si>
    <t>Subjective ordinal</t>
  </si>
  <si>
    <t>Objective ordinal</t>
  </si>
  <si>
    <t>Environment_Satisfaction, Job_Satisfaction,Relationship_Satisfaction,Work_Life_Balance, Job_Involvement,</t>
  </si>
  <si>
    <t>Age variable is correlated with TotalWorkingYears, TotalWorkingYears correlated with MonthlyIncome</t>
  </si>
  <si>
    <t>Performance_Rating</t>
  </si>
  <si>
    <t>very little difference</t>
  </si>
  <si>
    <r>
      <t>there is a big  difference,</t>
    </r>
    <r>
      <rPr>
        <sz val="12"/>
        <color theme="1"/>
        <rFont val="Aptos Narrow"/>
        <scheme val="minor"/>
      </rPr>
      <t>Worker who frequently travel for business have a much higher attrition rate the those who do not travel for work at all.</t>
    </r>
  </si>
  <si>
    <r>
      <t xml:space="preserve">there is a big difference, </t>
    </r>
    <r>
      <rPr>
        <sz val="12"/>
        <color theme="1"/>
        <rFont val="Aptos Narrow"/>
        <scheme val="minor"/>
      </rPr>
      <t>Higher ranslate into lower attrition.</t>
    </r>
  </si>
  <si>
    <t>Business_travel</t>
  </si>
  <si>
    <t>Education</t>
  </si>
  <si>
    <t>little difference</t>
  </si>
  <si>
    <t>Job_level</t>
  </si>
  <si>
    <r>
      <rPr>
        <b/>
        <sz val="12"/>
        <color theme="1"/>
        <rFont val="Aptos Narrow"/>
        <scheme val="minor"/>
      </rPr>
      <t>there is a big difference</t>
    </r>
    <r>
      <rPr>
        <sz val="12"/>
        <color theme="1"/>
        <rFont val="Aptos Narrow"/>
        <family val="2"/>
        <scheme val="minor"/>
      </rPr>
      <t>, Workers with job level 1 are churning in a higher rate while those with job level 2,4 and 5 churn less then average</t>
    </r>
  </si>
  <si>
    <t xml:space="preserve"> Stock_option_level</t>
  </si>
  <si>
    <t>Detailed Interpretion:</t>
  </si>
  <si>
    <t>Variable</t>
  </si>
  <si>
    <t>Skewed to the right and higher income, as expected, seems to negativly affect the attrition rate. Low salary is  likelyh to churn</t>
  </si>
  <si>
    <r>
      <t xml:space="preserve"> Distributed quite normally and workers who churn are </t>
    </r>
    <r>
      <rPr>
        <b/>
        <sz val="12"/>
        <color theme="1"/>
        <rFont val="Aptos Narrow"/>
        <scheme val="minor"/>
      </rPr>
      <t>younger</t>
    </r>
    <r>
      <rPr>
        <sz val="12"/>
        <color theme="1"/>
        <rFont val="Aptos Narrow"/>
        <scheme val="minor"/>
      </rPr>
      <t>. Younger is  likelyh to churn</t>
    </r>
  </si>
  <si>
    <t>Monthly_income</t>
  </si>
  <si>
    <t>Younger is  likely to leave</t>
  </si>
  <si>
    <t>Low salary is  likely to leave</t>
  </si>
  <si>
    <t>Single is likely to leave</t>
  </si>
  <si>
    <t>Working as a sales rep or a lab tech is likely to leave</t>
  </si>
  <si>
    <t>Travels frequently  is likely to leave</t>
  </si>
  <si>
    <t>Working overtime  is  likely to leave</t>
  </si>
  <si>
    <r>
      <rPr>
        <b/>
        <sz val="12"/>
        <color theme="1"/>
        <rFont val="Aptos Narrow"/>
        <scheme val="minor"/>
      </rPr>
      <t>there is a big difference</t>
    </r>
    <r>
      <rPr>
        <sz val="12"/>
        <color theme="1"/>
        <rFont val="Aptos Narrow"/>
        <family val="2"/>
        <scheme val="minor"/>
      </rPr>
      <t>, Those who set their stock option level to 0 churn at a higher rate then the res</t>
    </r>
  </si>
  <si>
    <t>0 stock lever is likely to leave</t>
  </si>
  <si>
    <t xml:space="preserve"> job level 1 is likely to leave</t>
  </si>
  <si>
    <t xml:space="preserve"> Features that have a visible effect</t>
  </si>
  <si>
    <r>
      <rPr>
        <b/>
        <sz val="12"/>
        <color rgb="FFFF0000"/>
        <rFont val="Aptos Narrow (Body)"/>
      </rPr>
      <t>years_in_current_role, years_at_company or years_with_curr_manage areHighly correlated, choose one!</t>
    </r>
    <r>
      <rPr>
        <sz val="12"/>
        <color theme="1"/>
        <rFont val="Aptos Narrow"/>
        <scheme val="minor"/>
      </rPr>
      <t xml:space="preserve">  As working time incease,  the chrun rate decreases</t>
    </r>
  </si>
  <si>
    <r>
      <t xml:space="preserve">Age, Distance_from_Home, </t>
    </r>
    <r>
      <rPr>
        <sz val="12"/>
        <color rgb="FFFF0000"/>
        <rFont val="Aptos Narrow (Body)"/>
      </rPr>
      <t>Employee_Number (id variable)</t>
    </r>
  </si>
  <si>
    <r>
      <rPr>
        <b/>
        <sz val="12"/>
        <color rgb="FFFF0000"/>
        <rFont val="Aptos Narrow (Body)"/>
      </rPr>
      <t xml:space="preserve">Note: </t>
    </r>
    <r>
      <rPr>
        <b/>
        <sz val="12"/>
        <color theme="1"/>
        <rFont val="Aptos Narrow"/>
        <scheme val="minor"/>
      </rPr>
      <t>It is strange</t>
    </r>
    <r>
      <rPr>
        <sz val="12"/>
        <color theme="1"/>
        <rFont val="Aptos Narrow"/>
        <scheme val="minor"/>
      </rPr>
      <t xml:space="preserve"> that hourly_rate, daily_rate, monthly_rate, percent_salary_hike and training_times_last_year. Are not correlated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</si>
</sst>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 val="double"/>
      <sz val="12"/>
      <color theme="1"/>
      <name val="Aptos Narrow (Body)"/>
    </font>
    <font>
      <u/>
      <sz val="12"/>
      <color theme="1"/>
      <name val="Aptos Narrow (Body)"/>
    </font>
    <font>
      <sz val="12"/>
      <color theme="1"/>
      <name val="Aptos Narrow"/>
      <family val="2"/>
      <scheme val="minor"/>
    </font>
    <font>
      <b/>
      <sz val="12"/>
      <color rgb="FFFF0000"/>
      <name val="Aptos Narrow (Body)"/>
    </font>
    <font>
      <b/>
      <sz val="11"/>
      <name val="Calibri"/>
      <family val="2"/>
    </font>
    <font>
      <b/>
      <u/>
      <sz val="12"/>
      <color theme="1"/>
      <name val="Aptos Narrow (Body)"/>
    </font>
    <font>
      <sz val="12"/>
      <color theme="1"/>
      <name val="Aptos Narrow (Body)"/>
    </font>
    <font>
      <sz val="12"/>
      <color rgb="FFFF0000"/>
      <name val="Aptos Narrow (Body)"/>
    </font>
    <font>
      <b/>
      <sz val="20"/>
      <color rgb="FFFF0000"/>
      <name val="Aptos Narrow"/>
      <scheme val="minor"/>
    </font>
    <font>
      <b/>
      <sz val="14"/>
      <color theme="1"/>
      <name val="Aptos Narrow"/>
      <scheme val="minor"/>
    </font>
    <font>
      <b/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9" fontId="0" fillId="0" borderId="0" xfId="1" applyFont="1" applyAlignment="1">
      <alignment horizontal="center" vertical="center"/>
    </xf>
    <xf numFmtId="9" fontId="0" fillId="0" borderId="0" xfId="0" applyNumberForma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A8D9-788D-B848-96B7-A06586D4D00D}">
  <dimension ref="A1:D9"/>
  <sheetViews>
    <sheetView zoomScale="106" workbookViewId="0">
      <selection activeCell="B1" sqref="B1"/>
    </sheetView>
  </sheetViews>
  <sheetFormatPr baseColWidth="10" defaultRowHeight="16" x14ac:dyDescent="0.2"/>
  <cols>
    <col min="1" max="1" width="19.83203125" customWidth="1"/>
    <col min="2" max="2" width="20.83203125" customWidth="1"/>
    <col min="3" max="3" width="71.5" customWidth="1"/>
    <col min="4" max="4" width="11.5" style="4" customWidth="1"/>
  </cols>
  <sheetData>
    <row r="1" spans="1:4" x14ac:dyDescent="0.2">
      <c r="A1" s="5" t="s">
        <v>26</v>
      </c>
      <c r="B1" s="5" t="s">
        <v>27</v>
      </c>
      <c r="C1" s="5" t="s">
        <v>28</v>
      </c>
      <c r="D1" s="5" t="s">
        <v>25</v>
      </c>
    </row>
    <row r="2" spans="1:4" ht="16" customHeight="1" x14ac:dyDescent="0.2">
      <c r="A2" s="8" t="s">
        <v>31</v>
      </c>
      <c r="B2" s="5" t="s">
        <v>16</v>
      </c>
      <c r="C2" s="1" t="s">
        <v>37</v>
      </c>
      <c r="D2" s="3">
        <f>LEN(C2)-LEN(SUBSTITUTE(C2,",",""))+1</f>
        <v>3</v>
      </c>
    </row>
    <row r="3" spans="1:4" ht="17" x14ac:dyDescent="0.2">
      <c r="A3" s="8" t="s">
        <v>31</v>
      </c>
      <c r="B3" s="5" t="s">
        <v>15</v>
      </c>
      <c r="C3" s="1" t="s">
        <v>18</v>
      </c>
      <c r="D3" s="3">
        <f t="shared" ref="D3:D9" si="0">LEN(C3)-LEN(SUBSTITUTE(C3,",",""))+1</f>
        <v>5</v>
      </c>
    </row>
    <row r="4" spans="1:4" ht="34" x14ac:dyDescent="0.2">
      <c r="A4" s="8" t="s">
        <v>31</v>
      </c>
      <c r="B4" s="5" t="s">
        <v>14</v>
      </c>
      <c r="C4" s="2" t="s">
        <v>19</v>
      </c>
      <c r="D4" s="3">
        <f t="shared" si="0"/>
        <v>5</v>
      </c>
    </row>
    <row r="5" spans="1:4" ht="34" x14ac:dyDescent="0.2">
      <c r="A5" s="8" t="s">
        <v>31</v>
      </c>
      <c r="B5" s="5" t="s">
        <v>17</v>
      </c>
      <c r="C5" s="2" t="s">
        <v>21</v>
      </c>
      <c r="D5" s="3">
        <f t="shared" si="0"/>
        <v>4</v>
      </c>
    </row>
    <row r="6" spans="1:4" ht="16" customHeight="1" x14ac:dyDescent="0.2">
      <c r="A6" s="9" t="s">
        <v>32</v>
      </c>
      <c r="B6" s="5" t="s">
        <v>20</v>
      </c>
      <c r="C6" s="6" t="s">
        <v>86</v>
      </c>
      <c r="D6" s="3">
        <f t="shared" si="0"/>
        <v>4</v>
      </c>
    </row>
    <row r="7" spans="1:4" ht="17" x14ac:dyDescent="0.2">
      <c r="A7" s="9" t="s">
        <v>32</v>
      </c>
      <c r="B7" s="5" t="s">
        <v>22</v>
      </c>
      <c r="C7" s="2" t="s">
        <v>23</v>
      </c>
      <c r="D7" s="3">
        <f t="shared" si="0"/>
        <v>4</v>
      </c>
    </row>
    <row r="8" spans="1:4" ht="51" x14ac:dyDescent="0.2">
      <c r="A8" s="9" t="s">
        <v>32</v>
      </c>
      <c r="B8" s="5" t="s">
        <v>101</v>
      </c>
      <c r="C8" s="11" t="s">
        <v>33</v>
      </c>
      <c r="D8" s="3">
        <f t="shared" si="0"/>
        <v>6</v>
      </c>
    </row>
    <row r="9" spans="1:4" ht="17" x14ac:dyDescent="0.2">
      <c r="A9" s="9" t="s">
        <v>32</v>
      </c>
      <c r="B9" s="5" t="s">
        <v>102</v>
      </c>
      <c r="C9" s="7" t="s">
        <v>34</v>
      </c>
      <c r="D9" s="3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7EEF-5950-9844-90A7-A1411C6F89EC}">
  <dimension ref="A2:F57"/>
  <sheetViews>
    <sheetView tabSelected="1" zoomScale="106" workbookViewId="0">
      <selection activeCell="B19" sqref="B19:C19"/>
    </sheetView>
  </sheetViews>
  <sheetFormatPr baseColWidth="10" defaultRowHeight="16" x14ac:dyDescent="0.2"/>
  <cols>
    <col min="1" max="1" width="39.83203125" customWidth="1"/>
    <col min="2" max="2" width="52.1640625" customWidth="1"/>
    <col min="3" max="3" width="74.1640625" customWidth="1"/>
    <col min="4" max="4" width="18.6640625" style="4" customWidth="1"/>
    <col min="6" max="6" width="82.1640625" style="3" customWidth="1"/>
  </cols>
  <sheetData>
    <row r="2" spans="1:6" x14ac:dyDescent="0.2">
      <c r="A2" s="12" t="s">
        <v>26</v>
      </c>
      <c r="B2" s="12" t="s">
        <v>27</v>
      </c>
      <c r="C2" s="12" t="s">
        <v>28</v>
      </c>
      <c r="D2" s="12" t="s">
        <v>25</v>
      </c>
    </row>
    <row r="3" spans="1:6" x14ac:dyDescent="0.2">
      <c r="A3" s="13" t="s">
        <v>29</v>
      </c>
      <c r="B3" s="12" t="s">
        <v>16</v>
      </c>
      <c r="C3" s="34" t="s">
        <v>131</v>
      </c>
      <c r="D3" s="15">
        <f>LEN(C3)-LEN(SUBSTITUTE(C3,",",""))+1</f>
        <v>3</v>
      </c>
    </row>
    <row r="4" spans="1:6" x14ac:dyDescent="0.2">
      <c r="A4" s="16"/>
      <c r="B4" s="12" t="s">
        <v>15</v>
      </c>
      <c r="C4" s="34" t="s">
        <v>18</v>
      </c>
      <c r="D4" s="15">
        <f t="shared" ref="D4:D10" si="0">LEN(C4)-LEN(SUBSTITUTE(C4,",",""))+1</f>
        <v>5</v>
      </c>
      <c r="F4" s="5" t="s">
        <v>36</v>
      </c>
    </row>
    <row r="5" spans="1:6" ht="34" x14ac:dyDescent="0.2">
      <c r="A5" s="16"/>
      <c r="B5" s="12" t="s">
        <v>14</v>
      </c>
      <c r="C5" s="35" t="s">
        <v>19</v>
      </c>
      <c r="D5" s="15">
        <f t="shared" si="0"/>
        <v>5</v>
      </c>
      <c r="F5" s="5" t="s">
        <v>35</v>
      </c>
    </row>
    <row r="6" spans="1:6" ht="34" x14ac:dyDescent="0.2">
      <c r="A6" s="16"/>
      <c r="B6" s="12" t="s">
        <v>17</v>
      </c>
      <c r="C6" s="35" t="s">
        <v>97</v>
      </c>
      <c r="D6" s="15">
        <f t="shared" si="0"/>
        <v>4</v>
      </c>
    </row>
    <row r="7" spans="1:6" x14ac:dyDescent="0.2">
      <c r="A7" s="13" t="s">
        <v>30</v>
      </c>
      <c r="B7" s="12" t="s">
        <v>20</v>
      </c>
      <c r="C7" s="17" t="s">
        <v>98</v>
      </c>
      <c r="D7" s="15">
        <f t="shared" si="0"/>
        <v>4</v>
      </c>
    </row>
    <row r="8" spans="1:6" ht="17" x14ac:dyDescent="0.2">
      <c r="A8" s="16"/>
      <c r="B8" s="12" t="s">
        <v>22</v>
      </c>
      <c r="C8" s="35" t="s">
        <v>23</v>
      </c>
      <c r="D8" s="15">
        <f t="shared" si="0"/>
        <v>4</v>
      </c>
    </row>
    <row r="9" spans="1:6" ht="51" x14ac:dyDescent="0.2">
      <c r="A9" s="16"/>
      <c r="B9" s="16" t="s">
        <v>24</v>
      </c>
      <c r="C9" s="18" t="s">
        <v>99</v>
      </c>
      <c r="D9" s="15">
        <f t="shared" si="0"/>
        <v>6</v>
      </c>
    </row>
    <row r="10" spans="1:6" x14ac:dyDescent="0.2">
      <c r="A10" s="16"/>
      <c r="B10" s="16"/>
      <c r="C10" s="19" t="s">
        <v>100</v>
      </c>
      <c r="D10" s="15">
        <f t="shared" si="0"/>
        <v>4</v>
      </c>
    </row>
    <row r="12" spans="1:6" x14ac:dyDescent="0.2">
      <c r="A12" s="57" t="s">
        <v>46</v>
      </c>
      <c r="B12" s="21" t="s">
        <v>47</v>
      </c>
      <c r="C12" s="20" t="s">
        <v>41</v>
      </c>
    </row>
    <row r="13" spans="1:6" x14ac:dyDescent="0.2">
      <c r="A13" s="57"/>
      <c r="B13" s="21" t="s">
        <v>39</v>
      </c>
      <c r="C13" s="20" t="s">
        <v>41</v>
      </c>
    </row>
    <row r="14" spans="1:6" x14ac:dyDescent="0.2">
      <c r="A14" s="57"/>
      <c r="B14" s="21" t="s">
        <v>40</v>
      </c>
      <c r="C14" s="20" t="s">
        <v>41</v>
      </c>
    </row>
    <row r="15" spans="1:6" x14ac:dyDescent="0.2">
      <c r="A15" s="57"/>
      <c r="B15" s="21" t="s">
        <v>42</v>
      </c>
      <c r="C15" s="20" t="s">
        <v>43</v>
      </c>
    </row>
    <row r="16" spans="1:6" ht="32" customHeight="1" x14ac:dyDescent="0.2">
      <c r="A16" s="57"/>
      <c r="B16" s="24" t="s">
        <v>70</v>
      </c>
      <c r="C16" s="14" t="s">
        <v>69</v>
      </c>
    </row>
    <row r="17" spans="1:4" x14ac:dyDescent="0.2">
      <c r="A17" s="57"/>
      <c r="B17" s="21" t="s">
        <v>71</v>
      </c>
      <c r="C17" s="14" t="s">
        <v>69</v>
      </c>
    </row>
    <row r="18" spans="1:4" x14ac:dyDescent="0.2">
      <c r="A18" s="57"/>
      <c r="B18" s="21" t="s">
        <v>72</v>
      </c>
      <c r="C18" s="14" t="s">
        <v>69</v>
      </c>
    </row>
    <row r="19" spans="1:4" x14ac:dyDescent="0.2">
      <c r="A19" s="57"/>
      <c r="B19" s="49" t="s">
        <v>132</v>
      </c>
      <c r="C19" s="49"/>
    </row>
    <row r="20" spans="1:4" x14ac:dyDescent="0.2">
      <c r="A20" s="36"/>
      <c r="B20" s="48"/>
      <c r="C20" s="47"/>
    </row>
    <row r="21" spans="1:4" x14ac:dyDescent="0.2">
      <c r="A21" s="36"/>
      <c r="B21" s="48"/>
      <c r="C21" s="47"/>
    </row>
    <row r="22" spans="1:4" x14ac:dyDescent="0.2">
      <c r="A22" s="59" t="s">
        <v>129</v>
      </c>
      <c r="B22" s="12" t="s">
        <v>38</v>
      </c>
      <c r="C22" s="17" t="s">
        <v>120</v>
      </c>
      <c r="D22" s="12" t="s">
        <v>31</v>
      </c>
    </row>
    <row r="23" spans="1:4" x14ac:dyDescent="0.2">
      <c r="A23" s="59"/>
      <c r="B23" s="21" t="s">
        <v>119</v>
      </c>
      <c r="C23" s="17" t="s">
        <v>121</v>
      </c>
      <c r="D23" s="12" t="s">
        <v>31</v>
      </c>
    </row>
    <row r="24" spans="1:4" ht="34" x14ac:dyDescent="0.2">
      <c r="A24" s="59"/>
      <c r="B24" s="58" t="s">
        <v>57</v>
      </c>
      <c r="C24" s="18" t="s">
        <v>130</v>
      </c>
      <c r="D24" s="12" t="s">
        <v>31</v>
      </c>
    </row>
    <row r="25" spans="1:4" ht="17" x14ac:dyDescent="0.2">
      <c r="A25" s="59"/>
      <c r="B25" s="58" t="s">
        <v>90</v>
      </c>
      <c r="C25" s="18" t="s">
        <v>125</v>
      </c>
      <c r="D25" s="12" t="s">
        <v>20</v>
      </c>
    </row>
    <row r="26" spans="1:4" ht="15" customHeight="1" x14ac:dyDescent="0.2">
      <c r="A26" s="59"/>
      <c r="B26" s="12" t="s">
        <v>93</v>
      </c>
      <c r="C26" s="17" t="s">
        <v>122</v>
      </c>
      <c r="D26" s="12" t="s">
        <v>22</v>
      </c>
    </row>
    <row r="27" spans="1:4" x14ac:dyDescent="0.2">
      <c r="A27" s="59"/>
      <c r="B27" s="12" t="s">
        <v>92</v>
      </c>
      <c r="C27" s="17" t="s">
        <v>123</v>
      </c>
      <c r="D27" s="12" t="s">
        <v>22</v>
      </c>
    </row>
    <row r="28" spans="1:4" x14ac:dyDescent="0.2">
      <c r="A28" s="59"/>
      <c r="B28" s="12" t="s">
        <v>109</v>
      </c>
      <c r="C28" s="17" t="s">
        <v>124</v>
      </c>
      <c r="D28" s="12" t="s">
        <v>24</v>
      </c>
    </row>
    <row r="29" spans="1:4" x14ac:dyDescent="0.2">
      <c r="A29" s="59"/>
      <c r="B29" s="12" t="s">
        <v>114</v>
      </c>
      <c r="C29" s="17" t="s">
        <v>127</v>
      </c>
      <c r="D29" s="12" t="s">
        <v>24</v>
      </c>
    </row>
    <row r="30" spans="1:4" x14ac:dyDescent="0.2">
      <c r="A30" s="59"/>
      <c r="B30" s="12" t="s">
        <v>112</v>
      </c>
      <c r="C30" s="17" t="s">
        <v>128</v>
      </c>
      <c r="D30" s="12" t="s">
        <v>24</v>
      </c>
    </row>
    <row r="31" spans="1:4" x14ac:dyDescent="0.2">
      <c r="A31" s="36"/>
      <c r="B31" s="25"/>
      <c r="C31" s="39"/>
    </row>
    <row r="32" spans="1:4" x14ac:dyDescent="0.2">
      <c r="A32" s="36"/>
      <c r="B32" s="25"/>
      <c r="C32" s="39"/>
    </row>
    <row r="33" spans="1:6" x14ac:dyDescent="0.2">
      <c r="A33" s="36"/>
      <c r="B33" s="25"/>
      <c r="C33" s="39"/>
    </row>
    <row r="34" spans="1:6" ht="27" x14ac:dyDescent="0.2">
      <c r="A34" s="50" t="s">
        <v>115</v>
      </c>
    </row>
    <row r="35" spans="1:6" ht="19" x14ac:dyDescent="0.25">
      <c r="A35" s="56" t="s">
        <v>87</v>
      </c>
    </row>
    <row r="36" spans="1:6" x14ac:dyDescent="0.2">
      <c r="A36" s="12" t="s">
        <v>27</v>
      </c>
      <c r="B36" s="21" t="s">
        <v>116</v>
      </c>
      <c r="C36" s="21" t="s">
        <v>50</v>
      </c>
      <c r="D36" s="21" t="s">
        <v>49</v>
      </c>
      <c r="F36" s="10" t="s">
        <v>62</v>
      </c>
    </row>
    <row r="37" spans="1:6" ht="26" customHeight="1" x14ac:dyDescent="0.2">
      <c r="A37" s="51" t="s">
        <v>16</v>
      </c>
      <c r="B37" s="12" t="s">
        <v>38</v>
      </c>
      <c r="C37" s="22" t="s">
        <v>118</v>
      </c>
      <c r="D37" s="12" t="s">
        <v>51</v>
      </c>
      <c r="F37" s="6" t="s">
        <v>67</v>
      </c>
    </row>
    <row r="38" spans="1:6" ht="34" x14ac:dyDescent="0.2">
      <c r="A38" s="51"/>
      <c r="B38" s="12" t="s">
        <v>44</v>
      </c>
      <c r="C38" s="23" t="s">
        <v>45</v>
      </c>
      <c r="D38" s="54" t="s">
        <v>52</v>
      </c>
      <c r="F38" s="37" t="s">
        <v>63</v>
      </c>
    </row>
    <row r="39" spans="1:6" ht="34" x14ac:dyDescent="0.2">
      <c r="A39" s="51" t="s">
        <v>15</v>
      </c>
      <c r="B39" s="24" t="s">
        <v>53</v>
      </c>
      <c r="C39" s="23" t="s">
        <v>54</v>
      </c>
      <c r="D39" s="54" t="s">
        <v>52</v>
      </c>
      <c r="F39" s="37" t="s">
        <v>64</v>
      </c>
    </row>
    <row r="40" spans="1:6" ht="34" x14ac:dyDescent="0.2">
      <c r="A40" s="51"/>
      <c r="B40" s="12" t="s">
        <v>48</v>
      </c>
      <c r="C40" s="30" t="s">
        <v>117</v>
      </c>
      <c r="D40" s="12" t="s">
        <v>51</v>
      </c>
      <c r="F40" s="37" t="s">
        <v>65</v>
      </c>
    </row>
    <row r="41" spans="1:6" ht="54" customHeight="1" x14ac:dyDescent="0.2">
      <c r="A41" s="52" t="s">
        <v>55</v>
      </c>
      <c r="B41" s="24" t="s">
        <v>57</v>
      </c>
      <c r="C41" s="31" t="s">
        <v>58</v>
      </c>
      <c r="D41" s="24" t="s">
        <v>59</v>
      </c>
      <c r="F41" s="37" t="s">
        <v>66</v>
      </c>
    </row>
    <row r="42" spans="1:6" x14ac:dyDescent="0.2">
      <c r="A42" s="52"/>
      <c r="B42" s="32" t="s">
        <v>56</v>
      </c>
      <c r="C42" s="31"/>
      <c r="D42" s="54" t="s">
        <v>52</v>
      </c>
      <c r="F42" s="38" t="s">
        <v>68</v>
      </c>
    </row>
    <row r="43" spans="1:6" ht="34" x14ac:dyDescent="0.2">
      <c r="A43" s="53" t="s">
        <v>17</v>
      </c>
      <c r="B43" s="33" t="s">
        <v>60</v>
      </c>
      <c r="C43" s="23" t="s">
        <v>61</v>
      </c>
      <c r="D43" s="55" t="s">
        <v>52</v>
      </c>
      <c r="F43" s="38" t="s">
        <v>104</v>
      </c>
    </row>
    <row r="45" spans="1:6" ht="19" x14ac:dyDescent="0.25">
      <c r="A45" s="56" t="s">
        <v>88</v>
      </c>
    </row>
    <row r="46" spans="1:6" x14ac:dyDescent="0.2">
      <c r="A46" s="12" t="s">
        <v>20</v>
      </c>
      <c r="B46" s="17" t="s">
        <v>95</v>
      </c>
      <c r="C46" s="22" t="s">
        <v>89</v>
      </c>
    </row>
    <row r="47" spans="1:6" x14ac:dyDescent="0.2">
      <c r="A47" s="12" t="s">
        <v>20</v>
      </c>
      <c r="B47" s="17" t="s">
        <v>90</v>
      </c>
      <c r="C47" s="43" t="s">
        <v>96</v>
      </c>
    </row>
    <row r="48" spans="1:6" ht="17" x14ac:dyDescent="0.2">
      <c r="A48" s="12" t="s">
        <v>22</v>
      </c>
      <c r="B48" s="18" t="s">
        <v>94</v>
      </c>
      <c r="C48" s="43" t="s">
        <v>96</v>
      </c>
    </row>
    <row r="49" spans="1:3" x14ac:dyDescent="0.2">
      <c r="A49" s="12" t="s">
        <v>22</v>
      </c>
      <c r="B49" s="17" t="s">
        <v>91</v>
      </c>
      <c r="C49" s="22" t="s">
        <v>89</v>
      </c>
    </row>
    <row r="50" spans="1:3" x14ac:dyDescent="0.2">
      <c r="A50" s="12" t="s">
        <v>22</v>
      </c>
      <c r="B50" s="17" t="s">
        <v>92</v>
      </c>
      <c r="C50" s="43" t="s">
        <v>96</v>
      </c>
    </row>
    <row r="51" spans="1:3" x14ac:dyDescent="0.2">
      <c r="A51" s="12" t="s">
        <v>22</v>
      </c>
      <c r="B51" s="17" t="s">
        <v>93</v>
      </c>
      <c r="C51" s="43" t="s">
        <v>96</v>
      </c>
    </row>
    <row r="52" spans="1:3" ht="51" x14ac:dyDescent="0.2">
      <c r="A52" s="16" t="s">
        <v>101</v>
      </c>
      <c r="B52" s="44" t="s">
        <v>103</v>
      </c>
      <c r="C52" s="40" t="s">
        <v>108</v>
      </c>
    </row>
    <row r="53" spans="1:3" x14ac:dyDescent="0.2">
      <c r="A53" s="16"/>
      <c r="B53" s="45" t="s">
        <v>105</v>
      </c>
      <c r="C53" s="41" t="s">
        <v>106</v>
      </c>
    </row>
    <row r="54" spans="1:3" ht="34" x14ac:dyDescent="0.2">
      <c r="A54" s="16" t="s">
        <v>102</v>
      </c>
      <c r="B54" s="14" t="s">
        <v>109</v>
      </c>
      <c r="C54" s="42" t="s">
        <v>107</v>
      </c>
    </row>
    <row r="55" spans="1:3" x14ac:dyDescent="0.2">
      <c r="A55" s="16"/>
      <c r="B55" s="14" t="s">
        <v>110</v>
      </c>
      <c r="C55" s="46" t="s">
        <v>111</v>
      </c>
    </row>
    <row r="56" spans="1:3" ht="34" x14ac:dyDescent="0.2">
      <c r="A56" s="16"/>
      <c r="B56" s="14" t="s">
        <v>112</v>
      </c>
      <c r="C56" s="23" t="s">
        <v>113</v>
      </c>
    </row>
    <row r="57" spans="1:3" ht="34" x14ac:dyDescent="0.2">
      <c r="A57" s="16"/>
      <c r="B57" s="14" t="s">
        <v>114</v>
      </c>
      <c r="C57" s="18" t="s">
        <v>126</v>
      </c>
    </row>
  </sheetData>
  <mergeCells count="12">
    <mergeCell ref="A52:A53"/>
    <mergeCell ref="A54:A57"/>
    <mergeCell ref="B19:C19"/>
    <mergeCell ref="A12:A19"/>
    <mergeCell ref="A22:A30"/>
    <mergeCell ref="A39:A40"/>
    <mergeCell ref="A41:A42"/>
    <mergeCell ref="C41:C42"/>
    <mergeCell ref="A3:A6"/>
    <mergeCell ref="B9:B10"/>
    <mergeCell ref="A7:A10"/>
    <mergeCell ref="A37:A3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7A6-4255-4F42-833C-E78971862956}">
  <dimension ref="A1:N15"/>
  <sheetViews>
    <sheetView workbookViewId="0">
      <selection activeCell="B17" sqref="B17"/>
    </sheetView>
  </sheetViews>
  <sheetFormatPr baseColWidth="10" defaultRowHeight="16" x14ac:dyDescent="0.2"/>
  <cols>
    <col min="1" max="1" width="13.83203125" customWidth="1"/>
  </cols>
  <sheetData>
    <row r="1" spans="1:14" ht="32" x14ac:dyDescent="0.2">
      <c r="A1" s="2"/>
      <c r="B1" s="26" t="s">
        <v>73</v>
      </c>
      <c r="C1" s="26" t="s">
        <v>74</v>
      </c>
      <c r="D1" s="26" t="s">
        <v>75</v>
      </c>
      <c r="E1" s="26" t="s">
        <v>76</v>
      </c>
      <c r="F1" s="26" t="s">
        <v>77</v>
      </c>
      <c r="G1" s="26" t="s">
        <v>78</v>
      </c>
      <c r="H1" s="26" t="s">
        <v>79</v>
      </c>
      <c r="I1" s="26" t="s">
        <v>80</v>
      </c>
      <c r="J1" s="26" t="s">
        <v>81</v>
      </c>
      <c r="K1" s="26" t="s">
        <v>82</v>
      </c>
      <c r="L1" s="26" t="s">
        <v>83</v>
      </c>
      <c r="M1" s="26" t="s">
        <v>84</v>
      </c>
      <c r="N1" s="26" t="s">
        <v>85</v>
      </c>
    </row>
    <row r="2" spans="1:14" x14ac:dyDescent="0.2">
      <c r="A2" s="27" t="s">
        <v>73</v>
      </c>
      <c r="B2" s="28">
        <v>1</v>
      </c>
      <c r="C2" s="28">
        <v>1.066094264553843E-2</v>
      </c>
      <c r="D2" s="28">
        <v>-1.6861201480871499E-3</v>
      </c>
      <c r="E2" s="28">
        <v>2.42865425509672E-2</v>
      </c>
      <c r="F2" s="28">
        <v>0.49785456692658009</v>
      </c>
      <c r="G2" s="28">
        <v>2.8051167133922729E-2</v>
      </c>
      <c r="H2" s="28">
        <v>3.6335849148618868E-3</v>
      </c>
      <c r="I2" s="28">
        <v>0.6803805357911985</v>
      </c>
      <c r="J2" s="28">
        <v>-1.962081894269849E-2</v>
      </c>
      <c r="K2" s="28">
        <v>0.31130876974509891</v>
      </c>
      <c r="L2" s="28">
        <v>0.2129010555655679</v>
      </c>
      <c r="M2" s="28">
        <v>0.2165133678516537</v>
      </c>
      <c r="N2" s="28">
        <v>0.20208860237515261</v>
      </c>
    </row>
    <row r="3" spans="1:14" x14ac:dyDescent="0.2">
      <c r="A3" s="27" t="s">
        <v>74</v>
      </c>
      <c r="B3" s="28">
        <v>1.066094264553843E-2</v>
      </c>
      <c r="C3" s="28">
        <v>1</v>
      </c>
      <c r="D3" s="28">
        <v>-4.9853373525526297E-3</v>
      </c>
      <c r="E3" s="28">
        <v>2.3381421528320529E-2</v>
      </c>
      <c r="F3" s="28">
        <v>7.7070588720060526E-3</v>
      </c>
      <c r="G3" s="28">
        <v>-3.218160152258194E-2</v>
      </c>
      <c r="H3" s="28">
        <v>2.2703677496334972E-2</v>
      </c>
      <c r="I3" s="28">
        <v>1.45147387063209E-2</v>
      </c>
      <c r="J3" s="28">
        <v>2.452542712083144E-3</v>
      </c>
      <c r="K3" s="28">
        <v>-3.4054767568547417E-2</v>
      </c>
      <c r="L3" s="28">
        <v>9.9320149600942154E-3</v>
      </c>
      <c r="M3" s="28">
        <v>-3.3228984787772017E-2</v>
      </c>
      <c r="N3" s="28">
        <v>-2.6363178228837679E-2</v>
      </c>
    </row>
    <row r="4" spans="1:14" x14ac:dyDescent="0.2">
      <c r="A4" s="27" t="s">
        <v>75</v>
      </c>
      <c r="B4" s="28">
        <v>-1.6861201480871499E-3</v>
      </c>
      <c r="C4" s="28">
        <v>-4.9853373525526297E-3</v>
      </c>
      <c r="D4" s="28">
        <v>1</v>
      </c>
      <c r="E4" s="28">
        <v>3.113058561176572E-2</v>
      </c>
      <c r="F4" s="28">
        <v>-1.7014444745275858E-2</v>
      </c>
      <c r="G4" s="28">
        <v>2.7472863548884129E-2</v>
      </c>
      <c r="H4" s="28">
        <v>4.0235377459193082E-2</v>
      </c>
      <c r="I4" s="28">
        <v>4.6284258637838572E-3</v>
      </c>
      <c r="J4" s="28">
        <v>-3.6942234339915787E-2</v>
      </c>
      <c r="K4" s="28">
        <v>9.5077198990112886E-3</v>
      </c>
      <c r="L4" s="28">
        <v>1.8844999108945749E-2</v>
      </c>
      <c r="M4" s="28">
        <v>1.0028835943115389E-2</v>
      </c>
      <c r="N4" s="28">
        <v>1.440604843063001E-2</v>
      </c>
    </row>
    <row r="5" spans="1:14" x14ac:dyDescent="0.2">
      <c r="A5" s="27" t="s">
        <v>76</v>
      </c>
      <c r="B5" s="28">
        <v>2.42865425509672E-2</v>
      </c>
      <c r="C5" s="28">
        <v>2.3381421528320529E-2</v>
      </c>
      <c r="D5" s="28">
        <v>3.113058561176572E-2</v>
      </c>
      <c r="E5" s="28">
        <v>1</v>
      </c>
      <c r="F5" s="28">
        <v>-1.5794304380892979E-2</v>
      </c>
      <c r="G5" s="28">
        <v>-1.529674955064966E-2</v>
      </c>
      <c r="H5" s="28">
        <v>-9.0619862537401601E-3</v>
      </c>
      <c r="I5" s="28">
        <v>-2.3336818233222691E-3</v>
      </c>
      <c r="J5" s="28">
        <v>-8.5476852092706487E-3</v>
      </c>
      <c r="K5" s="28">
        <v>-1.9581616209121279E-2</v>
      </c>
      <c r="L5" s="28">
        <v>-2.410622020878498E-2</v>
      </c>
      <c r="M5" s="28">
        <v>-2.6715586064335241E-2</v>
      </c>
      <c r="N5" s="28">
        <v>-2.012320018406601E-2</v>
      </c>
    </row>
    <row r="6" spans="1:14" x14ac:dyDescent="0.2">
      <c r="A6" s="27" t="s">
        <v>77</v>
      </c>
      <c r="B6" s="28">
        <v>0.49785456692658009</v>
      </c>
      <c r="C6" s="28">
        <v>7.7070588720060526E-3</v>
      </c>
      <c r="D6" s="28">
        <v>-1.7014444745275858E-2</v>
      </c>
      <c r="E6" s="28">
        <v>-1.5794304380892979E-2</v>
      </c>
      <c r="F6" s="28">
        <v>1</v>
      </c>
      <c r="G6" s="28">
        <v>3.4813626134121853E-2</v>
      </c>
      <c r="H6" s="28">
        <v>-2.726858644031447E-2</v>
      </c>
      <c r="I6" s="28">
        <v>0.7728932462543574</v>
      </c>
      <c r="J6" s="28">
        <v>-2.173627682389331E-2</v>
      </c>
      <c r="K6" s="28">
        <v>0.51428482573319567</v>
      </c>
      <c r="L6" s="28">
        <v>0.36381766692870843</v>
      </c>
      <c r="M6" s="28">
        <v>0.34497763816542709</v>
      </c>
      <c r="N6" s="28">
        <v>0.34407888325872132</v>
      </c>
    </row>
    <row r="7" spans="1:14" x14ac:dyDescent="0.2">
      <c r="A7" s="27" t="s">
        <v>78</v>
      </c>
      <c r="B7" s="28">
        <v>2.8051167133922729E-2</v>
      </c>
      <c r="C7" s="28">
        <v>-3.218160152258194E-2</v>
      </c>
      <c r="D7" s="28">
        <v>2.7472863548884129E-2</v>
      </c>
      <c r="E7" s="28">
        <v>-1.529674955064966E-2</v>
      </c>
      <c r="F7" s="28">
        <v>3.4813626134121853E-2</v>
      </c>
      <c r="G7" s="28">
        <v>1</v>
      </c>
      <c r="H7" s="28">
        <v>-6.4293459467114067E-3</v>
      </c>
      <c r="I7" s="28">
        <v>2.6442471176015381E-2</v>
      </c>
      <c r="J7" s="28">
        <v>1.466880632285845E-3</v>
      </c>
      <c r="K7" s="28">
        <v>-2.3655106706177279E-2</v>
      </c>
      <c r="L7" s="28">
        <v>-1.281487437047173E-2</v>
      </c>
      <c r="M7" s="28">
        <v>1.566799514676175E-3</v>
      </c>
      <c r="N7" s="28">
        <v>-3.6745905336769392E-2</v>
      </c>
    </row>
    <row r="8" spans="1:14" x14ac:dyDescent="0.2">
      <c r="A8" s="27" t="s">
        <v>79</v>
      </c>
      <c r="B8" s="28">
        <v>3.6335849148618868E-3</v>
      </c>
      <c r="C8" s="28">
        <v>2.2703677496334972E-2</v>
      </c>
      <c r="D8" s="28">
        <v>4.0235377459193082E-2</v>
      </c>
      <c r="E8" s="28">
        <v>-9.0619862537401601E-3</v>
      </c>
      <c r="F8" s="28">
        <v>-2.726858644031447E-2</v>
      </c>
      <c r="G8" s="28">
        <v>-6.4293459467114067E-3</v>
      </c>
      <c r="H8" s="28">
        <v>1</v>
      </c>
      <c r="I8" s="28">
        <v>-2.0608487617691261E-2</v>
      </c>
      <c r="J8" s="28">
        <v>-5.2210123517210036E-3</v>
      </c>
      <c r="K8" s="28">
        <v>-3.5991262431953733E-2</v>
      </c>
      <c r="L8" s="28">
        <v>-1.520026544277777E-3</v>
      </c>
      <c r="M8" s="28">
        <v>-2.2154312598866129E-2</v>
      </c>
      <c r="N8" s="28">
        <v>-1.198524847236139E-2</v>
      </c>
    </row>
    <row r="9" spans="1:14" x14ac:dyDescent="0.2">
      <c r="A9" s="27" t="s">
        <v>80</v>
      </c>
      <c r="B9" s="28">
        <v>0.6803805357911985</v>
      </c>
      <c r="C9" s="28">
        <v>1.45147387063209E-2</v>
      </c>
      <c r="D9" s="28">
        <v>4.6284258637838572E-3</v>
      </c>
      <c r="E9" s="28">
        <v>-2.3336818233222691E-3</v>
      </c>
      <c r="F9" s="28">
        <v>0.7728932462543574</v>
      </c>
      <c r="G9" s="28">
        <v>2.6442471176015381E-2</v>
      </c>
      <c r="H9" s="28">
        <v>-2.0608487617691261E-2</v>
      </c>
      <c r="I9" s="28">
        <v>1</v>
      </c>
      <c r="J9" s="28">
        <v>-3.5661571279619067E-2</v>
      </c>
      <c r="K9" s="28">
        <v>0.62813315526824676</v>
      </c>
      <c r="L9" s="28">
        <v>0.46036463801180988</v>
      </c>
      <c r="M9" s="28">
        <v>0.40485775850255867</v>
      </c>
      <c r="N9" s="28">
        <v>0.45918839708314391</v>
      </c>
    </row>
    <row r="10" spans="1:14" x14ac:dyDescent="0.2">
      <c r="A10" s="27" t="s">
        <v>81</v>
      </c>
      <c r="B10" s="28">
        <v>-1.962081894269849E-2</v>
      </c>
      <c r="C10" s="28">
        <v>2.452542712083144E-3</v>
      </c>
      <c r="D10" s="28">
        <v>-3.6942234339915787E-2</v>
      </c>
      <c r="E10" s="28">
        <v>-8.5476852092706487E-3</v>
      </c>
      <c r="F10" s="28">
        <v>-2.173627682389331E-2</v>
      </c>
      <c r="G10" s="28">
        <v>1.466880632285845E-3</v>
      </c>
      <c r="H10" s="28">
        <v>-5.2210123517210036E-3</v>
      </c>
      <c r="I10" s="28">
        <v>-3.5661571279619067E-2</v>
      </c>
      <c r="J10" s="28">
        <v>1</v>
      </c>
      <c r="K10" s="28">
        <v>3.5686656784274491E-3</v>
      </c>
      <c r="L10" s="28">
        <v>-5.7375043379568934E-3</v>
      </c>
      <c r="M10" s="28">
        <v>-2.0665360380059442E-3</v>
      </c>
      <c r="N10" s="28">
        <v>-4.0955260212262017E-3</v>
      </c>
    </row>
    <row r="11" spans="1:14" x14ac:dyDescent="0.2">
      <c r="A11" s="27" t="s">
        <v>82</v>
      </c>
      <c r="B11" s="28">
        <v>0.31130876974509891</v>
      </c>
      <c r="C11" s="28">
        <v>-3.4054767568547417E-2</v>
      </c>
      <c r="D11" s="28">
        <v>9.5077198990112886E-3</v>
      </c>
      <c r="E11" s="28">
        <v>-1.9581616209121279E-2</v>
      </c>
      <c r="F11" s="28">
        <v>0.51428482573319567</v>
      </c>
      <c r="G11" s="28">
        <v>-2.3655106706177279E-2</v>
      </c>
      <c r="H11" s="28">
        <v>-3.5991262431953733E-2</v>
      </c>
      <c r="I11" s="28">
        <v>0.62813315526824676</v>
      </c>
      <c r="J11" s="28">
        <v>3.5686656784274491E-3</v>
      </c>
      <c r="K11" s="28">
        <v>1</v>
      </c>
      <c r="L11" s="28">
        <v>0.7587537366134619</v>
      </c>
      <c r="M11" s="28">
        <v>0.61840886521760474</v>
      </c>
      <c r="N11" s="28">
        <v>0.76921242510070309</v>
      </c>
    </row>
    <row r="12" spans="1:14" x14ac:dyDescent="0.2">
      <c r="A12" s="27" t="s">
        <v>83</v>
      </c>
      <c r="B12" s="28">
        <v>0.2129010555655679</v>
      </c>
      <c r="C12" s="28">
        <v>9.9320149600942154E-3</v>
      </c>
      <c r="D12" s="28">
        <v>1.8844999108945749E-2</v>
      </c>
      <c r="E12" s="28">
        <v>-2.410622020878498E-2</v>
      </c>
      <c r="F12" s="28">
        <v>0.36381766692870843</v>
      </c>
      <c r="G12" s="28">
        <v>-1.281487437047173E-2</v>
      </c>
      <c r="H12" s="28">
        <v>-1.520026544277777E-3</v>
      </c>
      <c r="I12" s="28">
        <v>0.46036463801180988</v>
      </c>
      <c r="J12" s="28">
        <v>-5.7375043379568934E-3</v>
      </c>
      <c r="K12" s="28">
        <v>0.7587537366134619</v>
      </c>
      <c r="L12" s="28">
        <v>1</v>
      </c>
      <c r="M12" s="28">
        <v>0.54805624769951866</v>
      </c>
      <c r="N12" s="28">
        <v>0.71436476163859308</v>
      </c>
    </row>
    <row r="13" spans="1:14" x14ac:dyDescent="0.2">
      <c r="A13" s="27" t="s">
        <v>84</v>
      </c>
      <c r="B13" s="28">
        <v>0.2165133678516537</v>
      </c>
      <c r="C13" s="28">
        <v>-3.3228984787772017E-2</v>
      </c>
      <c r="D13" s="28">
        <v>1.0028835943115389E-2</v>
      </c>
      <c r="E13" s="28">
        <v>-2.6715586064335241E-2</v>
      </c>
      <c r="F13" s="28">
        <v>0.34497763816542709</v>
      </c>
      <c r="G13" s="28">
        <v>1.566799514676175E-3</v>
      </c>
      <c r="H13" s="28">
        <v>-2.2154312598866129E-2</v>
      </c>
      <c r="I13" s="28">
        <v>0.40485775850255867</v>
      </c>
      <c r="J13" s="28">
        <v>-2.0665360380059442E-3</v>
      </c>
      <c r="K13" s="28">
        <v>0.61840886521760474</v>
      </c>
      <c r="L13" s="28">
        <v>0.54805624769951866</v>
      </c>
      <c r="M13" s="28">
        <v>1</v>
      </c>
      <c r="N13" s="28">
        <v>0.51022363577880847</v>
      </c>
    </row>
    <row r="14" spans="1:14" x14ac:dyDescent="0.2">
      <c r="A14" s="27" t="s">
        <v>85</v>
      </c>
      <c r="B14" s="28">
        <v>0.20208860237515261</v>
      </c>
      <c r="C14" s="28">
        <v>-2.6363178228837679E-2</v>
      </c>
      <c r="D14" s="28">
        <v>1.440604843063001E-2</v>
      </c>
      <c r="E14" s="28">
        <v>-2.012320018406601E-2</v>
      </c>
      <c r="F14" s="28">
        <v>0.34407888325872132</v>
      </c>
      <c r="G14" s="28">
        <v>-3.6745905336769392E-2</v>
      </c>
      <c r="H14" s="28">
        <v>-1.198524847236139E-2</v>
      </c>
      <c r="I14" s="28">
        <v>0.45918839708314391</v>
      </c>
      <c r="J14" s="28">
        <v>-4.0955260212262017E-3</v>
      </c>
      <c r="K14" s="28">
        <v>0.76921242510070309</v>
      </c>
      <c r="L14" s="28">
        <v>0.71436476163859308</v>
      </c>
      <c r="M14" s="28">
        <v>0.51022363577880847</v>
      </c>
      <c r="N14" s="28">
        <v>1</v>
      </c>
    </row>
    <row r="15" spans="1:14" x14ac:dyDescent="0.2">
      <c r="B15" s="29">
        <f>SUM(B2:B14)-1</f>
        <v>2.1663721964097569</v>
      </c>
      <c r="C15" s="29">
        <f t="shared" ref="C15:N15" si="0">SUM(C2:C14)-1</f>
        <v>-3.9461472539593312E-2</v>
      </c>
      <c r="D15" s="29">
        <f t="shared" si="0"/>
        <v>9.5626719279497729E-2</v>
      </c>
      <c r="E15" s="29">
        <f t="shared" si="0"/>
        <v>-6.276248019312991E-2</v>
      </c>
      <c r="F15" s="29">
        <f t="shared" si="0"/>
        <v>2.7986138998827412</v>
      </c>
      <c r="G15" s="29">
        <f t="shared" si="0"/>
        <v>-7.3097752934552229E-3</v>
      </c>
      <c r="H15" s="29">
        <f t="shared" si="0"/>
        <v>-7.3667628787247308E-2</v>
      </c>
      <c r="I15" s="29">
        <f t="shared" si="0"/>
        <v>3.392799625936803</v>
      </c>
      <c r="J15" s="29">
        <f t="shared" si="0"/>
        <v>-0.13214107632151106</v>
      </c>
      <c r="K15" s="29">
        <f t="shared" si="0"/>
        <v>3.49989541033995</v>
      </c>
      <c r="L15" s="29">
        <f t="shared" si="0"/>
        <v>3.0428564950652088</v>
      </c>
      <c r="M15" s="29">
        <f t="shared" si="0"/>
        <v>2.5704677291843834</v>
      </c>
      <c r="N15" s="29">
        <f t="shared" si="0"/>
        <v>2.9142496954224919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3C1C-6FD4-174B-BA53-57F21C1FBDBA}">
  <dimension ref="A1:A24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1" spans="1:1" x14ac:dyDescent="0.2">
      <c r="A11" t="s">
        <v>5</v>
      </c>
    </row>
    <row r="12" spans="1:1" x14ac:dyDescent="0.2">
      <c r="A12" t="s">
        <v>6</v>
      </c>
    </row>
    <row r="14" spans="1:1" x14ac:dyDescent="0.2">
      <c r="A14" t="s">
        <v>7</v>
      </c>
    </row>
    <row r="16" spans="1:1" x14ac:dyDescent="0.2">
      <c r="A16" t="s">
        <v>8</v>
      </c>
    </row>
    <row r="17" spans="1:1" x14ac:dyDescent="0.2">
      <c r="A17" t="s">
        <v>9</v>
      </c>
    </row>
    <row r="18" spans="1:1" x14ac:dyDescent="0.2">
      <c r="A18" t="s">
        <v>10</v>
      </c>
    </row>
    <row r="20" spans="1:1" x14ac:dyDescent="0.2">
      <c r="A20" t="s">
        <v>11</v>
      </c>
    </row>
    <row r="22" spans="1:1" x14ac:dyDescent="0.2">
      <c r="A22" t="s">
        <v>12</v>
      </c>
    </row>
    <row r="24" spans="1:1" x14ac:dyDescent="0.2">
      <c r="A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ppt</vt:lpstr>
      <vt:lpstr>corr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YUQIAO LI</dc:creator>
  <cp:lastModifiedBy>YUQIAO LI</cp:lastModifiedBy>
  <dcterms:created xsi:type="dcterms:W3CDTF">2026-02-17T23:13:16Z</dcterms:created>
  <dcterms:modified xsi:type="dcterms:W3CDTF">2026-02-18T21:12:54Z</dcterms:modified>
</cp:coreProperties>
</file>